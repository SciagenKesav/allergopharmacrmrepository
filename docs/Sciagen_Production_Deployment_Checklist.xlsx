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'Checklist'!$A$4:$I$63</definedName>
    <definedName name="_xlnm.Print_Titles" localSheetId="0">'Checklist'!$4:$4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F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DEEAF1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6" fillId="11" borderId="1" pivotButton="0" quotePrefix="0" xfId="0"/>
    <xf numFmtId="0" fontId="6" fillId="11" borderId="1" applyAlignment="1" pivotButton="0" quotePrefix="0" xfId="0">
      <alignment horizontal="center"/>
    </xf>
    <xf numFmtId="9" fontId="6" fillId="11" borderId="1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color rgb="009C5700"/>
      </font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8" customWidth="1" min="3" max="3"/>
    <col width="80" customWidth="1" min="4" max="4"/>
    <col width="16" customWidth="1" min="5" max="5"/>
    <col width="13" customWidth="1" min="6" max="6"/>
    <col width="16" customWidth="1" min="7" max="7"/>
    <col width="13" customWidth="1" min="8" max="8"/>
    <col width="34" customWidth="1" min="9" max="9"/>
  </cols>
  <sheetData>
    <row r="1">
      <c r="A1" s="1" t="inlineStr">
        <is>
          <t>Sciagen CRM - Production Deployment Checklist</t>
        </is>
      </c>
    </row>
    <row r="2">
      <c r="A2" s="2" t="inlineStr">
        <is>
          <t>Fill in Status, Owner, Date done and Notes (yellow columns). "Project-specific" items come from issues found in devorg1, Int and the iPad sync.</t>
        </is>
      </c>
    </row>
    <row r="4" ht="24" customHeight="1">
      <c r="A4" s="3" t="inlineStr">
        <is>
          <t>#</t>
        </is>
      </c>
      <c r="B4" s="3" t="inlineStr">
        <is>
          <t>Phase</t>
        </is>
      </c>
      <c r="C4" s="3" t="inlineStr">
        <is>
          <t>Checklist item</t>
        </is>
      </c>
      <c r="D4" s="3" t="inlineStr">
        <is>
          <t>How to verify / detail</t>
        </is>
      </c>
      <c r="E4" s="3" t="inlineStr">
        <is>
          <t>Type</t>
        </is>
      </c>
      <c r="F4" s="3" t="inlineStr">
        <is>
          <t>Status</t>
        </is>
      </c>
      <c r="G4" s="3" t="inlineStr">
        <is>
          <t>Owner</t>
        </is>
      </c>
      <c r="H4" s="3" t="inlineStr">
        <is>
          <t>Date done</t>
        </is>
      </c>
      <c r="I4" s="3" t="inlineStr">
        <is>
          <t>Notes</t>
        </is>
      </c>
    </row>
    <row r="5">
      <c r="A5" s="4" t="n">
        <v>1</v>
      </c>
      <c r="B5" s="5" t="inlineStr">
        <is>
          <t>A. Pre-deployment gate</t>
        </is>
      </c>
      <c r="C5" s="6" t="inlineStr">
        <is>
          <t>Run all local tests on the exact deployment package</t>
        </is>
      </c>
      <c r="D5" s="6" t="inlineStr">
        <is>
          <t>A production deploy runs every local test and all must pass. Known open failure: DeviceResetVerifyApiTest.repPermissionSetCannotReadTheCode (reps can still read the device-reset OTP; the current iPad build depends on it). Either wait for the iPad change + FLS removal, or deploy with a specified test list that excludes it.</t>
        </is>
      </c>
      <c r="E5" s="7" t="inlineStr">
        <is>
          <t>Project-specific</t>
        </is>
      </c>
      <c r="F5" s="8" t="inlineStr">
        <is>
          <t>Not started</t>
        </is>
      </c>
      <c r="G5" s="9" t="inlineStr"/>
      <c r="H5" s="10" t="inlineStr"/>
      <c r="I5" s="9" t="inlineStr"/>
    </row>
    <row r="6">
      <c r="A6" s="4" t="n">
        <v>2</v>
      </c>
      <c r="B6" s="5" t="inlineStr">
        <is>
          <t>A. Pre-deployment gate</t>
        </is>
      </c>
      <c r="C6" s="6" t="inlineStr">
        <is>
          <t>Confirm every Apex class has at least 75% coverage (team target 80%)</t>
        </is>
      </c>
      <c r="D6" s="6" t="inlineStr">
        <is>
          <t>Last clean run in devorg1: 173 classes, none below 80%, org-wide 94%. Re-check on the final package.</t>
        </is>
      </c>
      <c r="E6" s="4" t="inlineStr">
        <is>
          <t>General</t>
        </is>
      </c>
      <c r="F6" s="8" t="inlineStr">
        <is>
          <t>Not started</t>
        </is>
      </c>
      <c r="G6" s="9" t="inlineStr"/>
      <c r="H6" s="10" t="inlineStr"/>
      <c r="I6" s="9" t="inlineStr"/>
    </row>
    <row r="7">
      <c r="A7" s="4" t="n">
        <v>3</v>
      </c>
      <c r="B7" s="5" t="inlineStr">
        <is>
          <t>A. Pre-deployment gate</t>
        </is>
      </c>
      <c r="C7" s="6" t="inlineStr">
        <is>
          <t>Validate first (check-only deploy), then quick-deploy the validated package</t>
        </is>
      </c>
      <c r="D7" s="6" t="inlineStr">
        <is>
          <t>sf project deploy start --dry-run ... then quick deploy from Setup &gt; Deployment Status.</t>
        </is>
      </c>
      <c r="E7" s="4" t="inlineStr">
        <is>
          <t>General</t>
        </is>
      </c>
      <c r="F7" s="8" t="inlineStr">
        <is>
          <t>Not started</t>
        </is>
      </c>
      <c r="G7" s="9" t="inlineStr"/>
      <c r="H7" s="10" t="inlineStr"/>
      <c r="I7" s="9" t="inlineStr"/>
    </row>
    <row r="8">
      <c r="A8" s="4" t="n">
        <v>4</v>
      </c>
      <c r="B8" s="5" t="inlineStr">
        <is>
          <t>A. Pre-deployment gate</t>
        </is>
      </c>
      <c r="C8" s="6" t="inlineStr">
        <is>
          <t>Deploy from a fresh retrieve of devorg1 - not from the git repo</t>
        </is>
      </c>
      <c r="D8" s="6" t="inlineStr">
        <is>
          <t>The repo has drifted. Old copies have overwritten fixes twice (AccountPlanController methods, the Accounts territory filter). Retrieve, diff, then deploy.</t>
        </is>
      </c>
      <c r="E8" s="7" t="inlineStr">
        <is>
          <t>Project-specific</t>
        </is>
      </c>
      <c r="F8" s="8" t="inlineStr">
        <is>
          <t>Not started</t>
        </is>
      </c>
      <c r="G8" s="9" t="inlineStr"/>
      <c r="H8" s="10" t="inlineStr"/>
      <c r="I8" s="9" t="inlineStr"/>
    </row>
    <row r="9">
      <c r="A9" s="4" t="n">
        <v>5</v>
      </c>
      <c r="B9" s="5" t="inlineStr">
        <is>
          <t>A. Pre-deployment gate</t>
        </is>
      </c>
      <c r="C9" s="6" t="inlineStr">
        <is>
          <t>Decide on the items excluded from the Int move</t>
        </is>
      </c>
      <c r="D9" s="6" t="inlineStr">
        <is>
          <t>Sciagen_CRM app (Int has ~38 more nav tabs), Business Admin profile (devorg1 lower on 47 objects), Business_Admin_Full_Access (Int has 109 Acaroid FLS rows), ZZ_Probe_Type report type. Merge or leave - do not overwrite blindly.</t>
        </is>
      </c>
      <c r="E9" s="7" t="inlineStr">
        <is>
          <t>Project-specific</t>
        </is>
      </c>
      <c r="F9" s="8" t="inlineStr">
        <is>
          <t>Not started</t>
        </is>
      </c>
      <c r="G9" s="9" t="inlineStr"/>
      <c r="H9" s="10" t="inlineStr"/>
      <c r="I9" s="9" t="inlineStr"/>
    </row>
    <row r="10">
      <c r="A10" s="4" t="n">
        <v>6</v>
      </c>
      <c r="B10" s="5" t="inlineStr">
        <is>
          <t>A. Pre-deployment gate</t>
        </is>
      </c>
      <c r="C10" s="6" t="inlineStr">
        <is>
          <t>Remove test leftovers before packaging</t>
        </is>
      </c>
      <c r="D10" s="6" t="inlineStr">
        <is>
          <t>ZZ_Probe_Type report type in devorg1; any ZZ* probe classes; test-only data.</t>
        </is>
      </c>
      <c r="E10" s="7" t="inlineStr">
        <is>
          <t>Project-specific</t>
        </is>
      </c>
      <c r="F10" s="8" t="inlineStr">
        <is>
          <t>Not started</t>
        </is>
      </c>
      <c r="G10" s="9" t="inlineStr"/>
      <c r="H10" s="10" t="inlineStr"/>
      <c r="I10" s="9" t="inlineStr"/>
    </row>
    <row r="11">
      <c r="A11" s="4" t="n">
        <v>7</v>
      </c>
      <c r="B11" s="5" t="inlineStr">
        <is>
          <t>A. Pre-deployment gate</t>
        </is>
      </c>
      <c r="C11" s="6" t="inlineStr">
        <is>
          <t>Back up production metadata</t>
        </is>
      </c>
      <c r="D11" s="6" t="inlineStr">
        <is>
          <t>Retrieve the same package from production and keep it for rollback (include profiles, permission sets, layouts, app, sharing rules).</t>
        </is>
      </c>
      <c r="E11" s="4" t="inlineStr">
        <is>
          <t>General</t>
        </is>
      </c>
      <c r="F11" s="8" t="inlineStr">
        <is>
          <t>Not started</t>
        </is>
      </c>
      <c r="G11" s="9" t="inlineStr"/>
      <c r="H11" s="10" t="inlineStr"/>
      <c r="I11" s="9" t="inlineStr"/>
    </row>
    <row r="12">
      <c r="A12" s="4" t="n">
        <v>8</v>
      </c>
      <c r="B12" s="5" t="inlineStr">
        <is>
          <t>A. Pre-deployment gate</t>
        </is>
      </c>
      <c r="C12" s="6" t="inlineStr">
        <is>
          <t>Prepare the destructive-changes list (if any)</t>
        </is>
      </c>
      <c r="D12" s="6" t="inlineStr">
        <is>
          <t>Components that must be deleted in prod (e.g. renamed classes). Confirm nothing in prod still references them.</t>
        </is>
      </c>
      <c r="E12" s="4" t="inlineStr">
        <is>
          <t>General</t>
        </is>
      </c>
      <c r="F12" s="8" t="inlineStr">
        <is>
          <t>Not started</t>
        </is>
      </c>
      <c r="G12" s="9" t="inlineStr"/>
      <c r="H12" s="10" t="inlineStr"/>
      <c r="I12" s="9" t="inlineStr"/>
    </row>
    <row r="13">
      <c r="A13" s="4" t="n">
        <v>9</v>
      </c>
      <c r="B13" s="5" t="inlineStr">
        <is>
          <t>A. Pre-deployment gate</t>
        </is>
      </c>
      <c r="C13" s="6" t="inlineStr">
        <is>
          <t>Choose the deployment window outside rep call hours</t>
        </is>
      </c>
      <c r="D13" s="6" t="inlineStr">
        <is>
          <t>Warn users that iPad sync may pause briefly. Check whether any scheduled batch (license expiry, duplicate scan, purge) runs during the window.</t>
        </is>
      </c>
      <c r="E13" s="4" t="inlineStr">
        <is>
          <t>General</t>
        </is>
      </c>
      <c r="F13" s="8" t="inlineStr">
        <is>
          <t>Not started</t>
        </is>
      </c>
      <c r="G13" s="9" t="inlineStr"/>
      <c r="H13" s="10" t="inlineStr"/>
      <c r="I13" s="9" t="inlineStr"/>
    </row>
    <row r="14">
      <c r="A14" s="4" t="n">
        <v>10</v>
      </c>
      <c r="B14" s="5" t="inlineStr">
        <is>
          <t>A. Pre-deployment gate</t>
        </is>
      </c>
      <c r="C14" s="6" t="inlineStr">
        <is>
          <t>Review what changes for users on release day</t>
        </is>
      </c>
      <c r="D14" s="6" t="inlineStr">
        <is>
          <t>The profile-to-permission-set automation will start assigning sets to every user created or changed in production.</t>
        </is>
      </c>
      <c r="E14" s="7" t="inlineStr">
        <is>
          <t>Project-specific</t>
        </is>
      </c>
      <c r="F14" s="8" t="inlineStr">
        <is>
          <t>Not started</t>
        </is>
      </c>
      <c r="G14" s="9" t="inlineStr"/>
      <c r="H14" s="10" t="inlineStr"/>
      <c r="I14" s="9" t="inlineStr"/>
    </row>
    <row r="15">
      <c r="A15" s="4" t="n">
        <v>11</v>
      </c>
      <c r="B15" s="5" t="inlineStr">
        <is>
          <t>A. Pre-deployment gate</t>
        </is>
      </c>
      <c r="C15" s="6" t="inlineStr">
        <is>
          <t>Get business and iPad-team sign-off on the release notes</t>
        </is>
      </c>
      <c r="D15" s="6" t="inlineStr">
        <is>
          <t>Include new endpoints (team-schedule me/kams/calls/accounts/account-activity) and the device-reset verify endpoint for the app team.</t>
        </is>
      </c>
      <c r="E15" s="4" t="inlineStr">
        <is>
          <t>General</t>
        </is>
      </c>
      <c r="F15" s="8" t="inlineStr">
        <is>
          <t>Not started</t>
        </is>
      </c>
      <c r="G15" s="9" t="inlineStr"/>
      <c r="H15" s="10" t="inlineStr"/>
      <c r="I15" s="9" t="inlineStr"/>
    </row>
    <row r="16">
      <c r="A16" s="4" t="n">
        <v>12</v>
      </c>
      <c r="B16" s="11" t="inlineStr">
        <is>
          <t>B. Immediately after deploy</t>
        </is>
      </c>
      <c r="C16" s="6" t="inlineStr">
        <is>
          <t>Check Deployment Status: all components succeeded, 0 failures</t>
        </is>
      </c>
      <c r="D16" s="6" t="inlineStr">
        <is>
          <t>Setup &gt; Deployment Status; save the deploy ID in the release record.</t>
        </is>
      </c>
      <c r="E16" s="4" t="inlineStr">
        <is>
          <t>General</t>
        </is>
      </c>
      <c r="F16" s="8" t="inlineStr">
        <is>
          <t>Not started</t>
        </is>
      </c>
      <c r="G16" s="9" t="inlineStr"/>
      <c r="H16" s="10" t="inlineStr"/>
      <c r="I16" s="9" t="inlineStr"/>
    </row>
    <row r="17">
      <c r="A17" s="4" t="n">
        <v>13</v>
      </c>
      <c r="B17" s="11" t="inlineStr">
        <is>
          <t>B. Immediately after deploy</t>
        </is>
      </c>
      <c r="C17" s="6" t="inlineStr">
        <is>
          <t>Confirm no Apex class or trigger is invalid</t>
        </is>
      </c>
      <c r="D17" s="6" t="inlineStr">
        <is>
          <t>Setup &gt; Apex Classes: recompile all if needed. Pay attention to AccountPlanController, SupportUnlockService, SciagenAccountController.</t>
        </is>
      </c>
      <c r="E17" s="7" t="inlineStr">
        <is>
          <t>Project-specific</t>
        </is>
      </c>
      <c r="F17" s="8" t="inlineStr">
        <is>
          <t>Not started</t>
        </is>
      </c>
      <c r="G17" s="9" t="inlineStr"/>
      <c r="H17" s="10" t="inlineStr"/>
      <c r="I17" s="9" t="inlineStr"/>
    </row>
    <row r="18">
      <c r="A18" s="4" t="n">
        <v>14</v>
      </c>
      <c r="B18" s="11" t="inlineStr">
        <is>
          <t>B. Immediately after deploy</t>
        </is>
      </c>
      <c r="C18" s="6" t="inlineStr">
        <is>
          <t>Recreate scheduled jobs (they do not travel with a deployment)</t>
        </is>
      </c>
      <c r="D18" s="6" t="inlineStr">
        <is>
          <t>HcpLicenseExpiryBatch, DuplicateScanScheduler, SyncTrackingPurgeJob, SampleLotExpiryBatch and any other Schedulable. Setup &gt; Scheduled Jobs.</t>
        </is>
      </c>
      <c r="E18" s="7" t="inlineStr">
        <is>
          <t>Project-specific</t>
        </is>
      </c>
      <c r="F18" s="8" t="inlineStr">
        <is>
          <t>Not started</t>
        </is>
      </c>
      <c r="G18" s="9" t="inlineStr"/>
      <c r="H18" s="10" t="inlineStr"/>
      <c r="I18" s="9" t="inlineStr"/>
    </row>
    <row r="19">
      <c r="A19" s="4" t="n">
        <v>15</v>
      </c>
      <c r="B19" s="11" t="inlineStr">
        <is>
          <t>B. Immediately after deploy</t>
        </is>
      </c>
      <c r="C19" s="6" t="inlineStr">
        <is>
          <t>Verify Profile_Permission_Set_Map custom metadata records are active and correct</t>
        </is>
      </c>
      <c r="D19" s="6" t="inlineStr">
        <is>
          <t>Manager: Manager Full Access, Mobile App Access, Reports User/Manager, Promotional Item Access, Acaroid Admin, Zonal Manager. KAM and Business Admin mappings likewise.</t>
        </is>
      </c>
      <c r="E19" s="7" t="inlineStr">
        <is>
          <t>Project-specific</t>
        </is>
      </c>
      <c r="F19" s="8" t="inlineStr">
        <is>
          <t>Not started</t>
        </is>
      </c>
      <c r="G19" s="9" t="inlineStr"/>
      <c r="H19" s="10" t="inlineStr"/>
      <c r="I19" s="9" t="inlineStr"/>
    </row>
    <row r="20">
      <c r="A20" s="4" t="n">
        <v>16</v>
      </c>
      <c r="B20" s="11" t="inlineStr">
        <is>
          <t>B. Immediately after deploy</t>
        </is>
      </c>
      <c r="C20" s="6" t="inlineStr">
        <is>
          <t>Assign permission sets to EXISTING users</t>
        </is>
      </c>
      <c r="D20" s="6" t="inlineStr">
        <is>
          <t>The automation fires only on user create/update. Assign to current Managers, KAMs and Business Admins (bulk or script) and verify against one reference user.</t>
        </is>
      </c>
      <c r="E20" s="7" t="inlineStr">
        <is>
          <t>Project-specific</t>
        </is>
      </c>
      <c r="F20" s="8" t="inlineStr">
        <is>
          <t>Not started</t>
        </is>
      </c>
      <c r="G20" s="9" t="inlineStr"/>
      <c r="H20" s="10" t="inlineStr"/>
      <c r="I20" s="9" t="inlineStr"/>
    </row>
    <row r="21">
      <c r="A21" s="4" t="n">
        <v>17</v>
      </c>
      <c r="B21" s="11" t="inlineStr">
        <is>
          <t>B. Immediately after deploy</t>
        </is>
      </c>
      <c r="C21" s="6" t="inlineStr">
        <is>
          <t>Activate Lightning pages / app navigation where required</t>
        </is>
      </c>
      <c r="D21" s="6" t="inlineStr">
        <is>
          <t>My Schedule page, Reports tab, Monthly Call Plans, Sciagen_CRM app nav. Check the app tab list against production before and after.</t>
        </is>
      </c>
      <c r="E21" s="7" t="inlineStr">
        <is>
          <t>Project-specific</t>
        </is>
      </c>
      <c r="F21" s="8" t="inlineStr">
        <is>
          <t>Not started</t>
        </is>
      </c>
      <c r="G21" s="9" t="inlineStr"/>
      <c r="H21" s="10" t="inlineStr"/>
      <c r="I21" s="9" t="inlineStr"/>
    </row>
    <row r="22">
      <c r="A22" s="4" t="n">
        <v>18</v>
      </c>
      <c r="B22" s="11" t="inlineStr">
        <is>
          <t>B. Immediately after deploy</t>
        </is>
      </c>
      <c r="C22" s="6" t="inlineStr">
        <is>
          <t>Verify page layout and record type assignments per profile</t>
        </is>
      </c>
      <c r="D22" s="6" t="inlineStr">
        <is>
          <t>Presentation, Segmentation, Sciagen Account (HCP/HCO), Call Visit Report, Planned Call layouts.</t>
        </is>
      </c>
      <c r="E22" s="4" t="inlineStr">
        <is>
          <t>General</t>
        </is>
      </c>
      <c r="F22" s="8" t="inlineStr">
        <is>
          <t>Not started</t>
        </is>
      </c>
      <c r="G22" s="9" t="inlineStr"/>
      <c r="H22" s="10" t="inlineStr"/>
      <c r="I22" s="9" t="inlineStr"/>
    </row>
    <row r="23">
      <c r="A23" s="4" t="n">
        <v>19</v>
      </c>
      <c r="B23" s="12" t="inlineStr">
        <is>
          <t>C. Org settings (not in deployment)</t>
        </is>
      </c>
      <c r="C23" s="6" t="inlineStr">
        <is>
          <t>Set Email Deliverability to the required level</t>
        </is>
      </c>
      <c r="D23" s="6" t="inlineStr">
        <is>
          <t>Setup &gt; Deliverability (Access level: All email in production). Sent-email features and notifications depend on it.</t>
        </is>
      </c>
      <c r="E23" s="7" t="inlineStr">
        <is>
          <t>Project-specific</t>
        </is>
      </c>
      <c r="F23" s="8" t="inlineStr">
        <is>
          <t>Not started</t>
        </is>
      </c>
      <c r="G23" s="9" t="inlineStr"/>
      <c r="H23" s="10" t="inlineStr"/>
      <c r="I23" s="9" t="inlineStr"/>
    </row>
    <row r="24">
      <c r="A24" s="4" t="n">
        <v>20</v>
      </c>
      <c r="B24" s="12" t="inlineStr">
        <is>
          <t>C. Org settings (not in deployment)</t>
        </is>
      </c>
      <c r="C24" s="6" t="inlineStr">
        <is>
          <t>Review Sciagen_App_Config Default record values</t>
        </is>
      </c>
      <c r="D24" s="6" t="inlineStr">
        <is>
          <t>Call day start/end hour, non-working days, lock segmentation on freeze, follow-up call hour, past-month freeze. devorg1 values differ from the code defaults.</t>
        </is>
      </c>
      <c r="E24" s="7" t="inlineStr">
        <is>
          <t>Project-specific</t>
        </is>
      </c>
      <c r="F24" s="8" t="inlineStr">
        <is>
          <t>Not started</t>
        </is>
      </c>
      <c r="G24" s="9" t="inlineStr"/>
      <c r="H24" s="10" t="inlineStr"/>
      <c r="I24" s="9" t="inlineStr"/>
    </row>
    <row r="25">
      <c r="A25" s="4" t="n">
        <v>21</v>
      </c>
      <c r="B25" s="12" t="inlineStr">
        <is>
          <t>C. Org settings (not in deployment)</t>
        </is>
      </c>
      <c r="C25" s="6" t="inlineStr">
        <is>
          <t>Review Sync_Object_Config__mdt rows</t>
        </is>
      </c>
      <c r="D25" s="6" t="inlineStr">
        <is>
          <t>Every iPad object active with the right direction. The iPad shows "Sync pending" if this cannot be read.</t>
        </is>
      </c>
      <c r="E25" s="7" t="inlineStr">
        <is>
          <t>Project-specific</t>
        </is>
      </c>
      <c r="F25" s="8" t="inlineStr">
        <is>
          <t>Not started</t>
        </is>
      </c>
      <c r="G25" s="9" t="inlineStr"/>
      <c r="H25" s="10" t="inlineStr"/>
      <c r="I25" s="9" t="inlineStr"/>
    </row>
    <row r="26">
      <c r="A26" s="4" t="n">
        <v>22</v>
      </c>
      <c r="B26" s="12" t="inlineStr">
        <is>
          <t>C. Org settings (not in deployment)</t>
        </is>
      </c>
      <c r="C26" s="6" t="inlineStr">
        <is>
          <t>Set the Call_Backdate_Limit__c custom setting (org default)</t>
        </is>
      </c>
      <c r="D26" s="6" t="inlineStr">
        <is>
          <t>The iPad reads it during sync; Managers need access through Sciagen_Mobile_App_Access.</t>
        </is>
      </c>
      <c r="E26" s="7" t="inlineStr">
        <is>
          <t>Project-specific</t>
        </is>
      </c>
      <c r="F26" s="8" t="inlineStr">
        <is>
          <t>Not started</t>
        </is>
      </c>
      <c r="G26" s="9" t="inlineStr"/>
      <c r="H26" s="10" t="inlineStr"/>
      <c r="I26" s="9" t="inlineStr"/>
    </row>
    <row r="27">
      <c r="A27" s="4" t="n">
        <v>23</v>
      </c>
      <c r="B27" s="12" t="inlineStr">
        <is>
          <t>C. Org settings (not in deployment)</t>
        </is>
      </c>
      <c r="C27" s="6" t="inlineStr">
        <is>
          <t>Configure external integrations</t>
        </is>
      </c>
      <c r="D27" s="6" t="inlineStr">
        <is>
          <t>Geocoding API key (Geocoding_Config__mdt), S3 / CMS endpoints, remote site settings or named credentials, CMS push user and its permission set.</t>
        </is>
      </c>
      <c r="E27" s="7" t="inlineStr">
        <is>
          <t>Project-specific</t>
        </is>
      </c>
      <c r="F27" s="8" t="inlineStr">
        <is>
          <t>Not started</t>
        </is>
      </c>
      <c r="G27" s="9" t="inlineStr"/>
      <c r="H27" s="10" t="inlineStr"/>
      <c r="I27" s="9" t="inlineStr"/>
    </row>
    <row r="28">
      <c r="A28" s="4" t="n">
        <v>24</v>
      </c>
      <c r="B28" s="12" t="inlineStr">
        <is>
          <t>C. Org settings (not in deployment)</t>
        </is>
      </c>
      <c r="C28" s="6" t="inlineStr">
        <is>
          <t>Configure the iPad Connected App in production</t>
        </is>
      </c>
      <c r="D28" s="6" t="inlineStr">
        <is>
          <t>Callback URL, OAuth scopes, IP relaxation, MFA / session policy, profile and permission-set access.</t>
        </is>
      </c>
      <c r="E28" s="4" t="inlineStr">
        <is>
          <t>General</t>
        </is>
      </c>
      <c r="F28" s="8" t="inlineStr">
        <is>
          <t>Not started</t>
        </is>
      </c>
      <c r="G28" s="9" t="inlineStr"/>
      <c r="H28" s="10" t="inlineStr"/>
      <c r="I28" s="9" t="inlineStr"/>
    </row>
    <row r="29">
      <c r="A29" s="4" t="n">
        <v>25</v>
      </c>
      <c r="B29" s="12" t="inlineStr">
        <is>
          <t>C. Org settings (not in deployment)</t>
        </is>
      </c>
      <c r="C29" s="6" t="inlineStr">
        <is>
          <t>Territory data</t>
        </is>
      </c>
      <c r="D29" s="6" t="inlineStr">
        <is>
          <t>Territory hierarchy (Regions &gt; Territories), User_Territory__c assignments, Account_Territory__c links; run a sharing recalculation if rules changed.</t>
        </is>
      </c>
      <c r="E29" s="7" t="inlineStr">
        <is>
          <t>Project-specific</t>
        </is>
      </c>
      <c r="F29" s="8" t="inlineStr">
        <is>
          <t>Not started</t>
        </is>
      </c>
      <c r="G29" s="9" t="inlineStr"/>
      <c r="H29" s="10" t="inlineStr"/>
      <c r="I29" s="9" t="inlineStr"/>
    </row>
    <row r="30">
      <c r="A30" s="4" t="n">
        <v>26</v>
      </c>
      <c r="B30" s="12" t="inlineStr">
        <is>
          <t>C. Org settings (not in deployment)</t>
        </is>
      </c>
      <c r="C30" s="6" t="inlineStr">
        <is>
          <t>Check picklist values and defaults</t>
        </is>
      </c>
      <c r="D30" s="6" t="inlineStr">
        <is>
          <t>HCP Specialty / HCO Speciality (master-data list), HCO Type (incl. Private Clinic, Personal Clinic, Polyclinic), Training Type, Segmentation Classification V1/V2/V3, Slide File Type.</t>
        </is>
      </c>
      <c r="E30" s="7" t="inlineStr">
        <is>
          <t>Project-specific</t>
        </is>
      </c>
      <c r="F30" s="8" t="inlineStr">
        <is>
          <t>Not started</t>
        </is>
      </c>
      <c r="G30" s="9" t="inlineStr"/>
      <c r="H30" s="10" t="inlineStr"/>
      <c r="I30" s="9" t="inlineStr"/>
    </row>
    <row r="31">
      <c r="A31" s="4" t="n">
        <v>27</v>
      </c>
      <c r="B31" s="12" t="inlineStr">
        <is>
          <t>C. Org settings (not in deployment)</t>
        </is>
      </c>
      <c r="C31" s="6" t="inlineStr">
        <is>
          <t>Check custom permission grants</t>
        </is>
      </c>
      <c r="D31" s="6" t="inlineStr">
        <is>
          <t>Support_Agent, Support_Unlock_Calls, Unlock_Monthly_Plans, Sciagen_Reports_Manager, Sciagen_Reports_Business_Admin are granted to the intended sets only.</t>
        </is>
      </c>
      <c r="E31" s="7" t="inlineStr">
        <is>
          <t>Project-specific</t>
        </is>
      </c>
      <c r="F31" s="8" t="inlineStr">
        <is>
          <t>Not started</t>
        </is>
      </c>
      <c r="G31" s="9" t="inlineStr"/>
      <c r="H31" s="10" t="inlineStr"/>
      <c r="I31" s="9" t="inlineStr"/>
    </row>
    <row r="32">
      <c r="A32" s="4" t="n">
        <v>28</v>
      </c>
      <c r="B32" s="12" t="inlineStr">
        <is>
          <t>C. Org settings (not in deployment)</t>
        </is>
      </c>
      <c r="C32" s="6" t="inlineStr">
        <is>
          <t>Check duplicate rules, validation rules and flows are active</t>
        </is>
      </c>
      <c r="D32" s="6" t="inlineStr">
        <is>
          <t>Duplicate rules (3), approval processes (Device Reset, DCR), any flow in the package.</t>
        </is>
      </c>
      <c r="E32" s="4" t="inlineStr">
        <is>
          <t>General</t>
        </is>
      </c>
      <c r="F32" s="8" t="inlineStr">
        <is>
          <t>Not started</t>
        </is>
      </c>
      <c r="G32" s="9" t="inlineStr"/>
      <c r="H32" s="10" t="inlineStr"/>
      <c r="I32" s="9" t="inlineStr"/>
    </row>
    <row r="33">
      <c r="A33" s="4" t="n">
        <v>29</v>
      </c>
      <c r="B33" s="13" t="inlineStr">
        <is>
          <t>D. Access verification (per role)</t>
        </is>
      </c>
      <c r="C33" s="6" t="inlineStr">
        <is>
          <t>KAM: iPad login and Sync now shows "Connected"</t>
        </is>
      </c>
      <c r="D33" s="6" t="inlineStr">
        <is>
          <t>No "Sync pending", no "account gateway sync error". Check Sync_Tracking__c for new Failed rows.</t>
        </is>
      </c>
      <c r="E33" s="7" t="inlineStr">
        <is>
          <t>Project-specific</t>
        </is>
      </c>
      <c r="F33" s="8" t="inlineStr">
        <is>
          <t>Not started</t>
        </is>
      </c>
      <c r="G33" s="9" t="inlineStr"/>
      <c r="H33" s="10" t="inlineStr"/>
      <c r="I33" s="9" t="inlineStr"/>
    </row>
    <row r="34">
      <c r="A34" s="4" t="n">
        <v>30</v>
      </c>
      <c r="B34" s="13" t="inlineStr">
        <is>
          <t>D. Access verification (per role)</t>
        </is>
      </c>
      <c r="C34" s="6" t="inlineStr">
        <is>
          <t>Manager: iPad sync, My Schedule KAM picker, DCR visibility</t>
        </is>
      </c>
      <c r="D34" s="6" t="inlineStr">
        <is>
          <t>Manager Full Access, Zonal Manager Access and Mobile App Access must all be assigned. Sync_Object_Config__mdt must be readable.</t>
        </is>
      </c>
      <c r="E34" s="7" t="inlineStr">
        <is>
          <t>Project-specific</t>
        </is>
      </c>
      <c r="F34" s="8" t="inlineStr">
        <is>
          <t>Not started</t>
        </is>
      </c>
      <c r="G34" s="9" t="inlineStr"/>
      <c r="H34" s="10" t="inlineStr"/>
      <c r="I34" s="9" t="inlineStr"/>
    </row>
    <row r="35">
      <c r="A35" s="4" t="n">
        <v>31</v>
      </c>
      <c r="B35" s="13" t="inlineStr">
        <is>
          <t>D. Access verification (per role)</t>
        </is>
      </c>
      <c r="C35" s="6" t="inlineStr">
        <is>
          <t>Business Admin: Accounts page shows HCPs, HCOs and all territories</t>
        </is>
      </c>
      <c r="D35" s="6" t="inlineStr">
        <is>
          <t>Business Admin is not a View-All-Data profile; the Accounts code treats it as admin explicitly.</t>
        </is>
      </c>
      <c r="E35" s="7" t="inlineStr">
        <is>
          <t>Project-specific</t>
        </is>
      </c>
      <c r="F35" s="8" t="inlineStr">
        <is>
          <t>Not started</t>
        </is>
      </c>
      <c r="G35" s="9" t="inlineStr"/>
      <c r="H35" s="10" t="inlineStr"/>
      <c r="I35" s="9" t="inlineStr"/>
    </row>
    <row r="36">
      <c r="A36" s="4" t="n">
        <v>32</v>
      </c>
      <c r="B36" s="13" t="inlineStr">
        <is>
          <t>D. Access verification (per role)</t>
        </is>
      </c>
      <c r="C36" s="6" t="inlineStr">
        <is>
          <t>System Admin: smoke test all admin pages</t>
        </is>
      </c>
      <c r="D36" s="6" t="inlineStr">
        <is>
          <t>Reports admin, Duplicate Manager, Alert Admin, Sample Administration, Support Console.</t>
        </is>
      </c>
      <c r="E36" s="4" t="inlineStr">
        <is>
          <t>General</t>
        </is>
      </c>
      <c r="F36" s="8" t="inlineStr">
        <is>
          <t>Not started</t>
        </is>
      </c>
      <c r="G36" s="9" t="inlineStr"/>
      <c r="H36" s="10" t="inlineStr"/>
      <c r="I36" s="9" t="inlineStr"/>
    </row>
    <row r="37">
      <c r="A37" s="4" t="n">
        <v>33</v>
      </c>
      <c r="B37" s="13" t="inlineStr">
        <is>
          <t>D. Access verification (per role)</t>
        </is>
      </c>
      <c r="C37" s="6" t="inlineStr">
        <is>
          <t>Run the field-access check for every role against the iPad queries</t>
        </is>
      </c>
      <c r="D37" s="6" t="inlineStr">
        <is>
          <t>All ~64 iPad queries in USER_MODE for each KAM / Manager / Business Admin - none may fail (catches missing FLS such as Acaroid fields).</t>
        </is>
      </c>
      <c r="E37" s="7" t="inlineStr">
        <is>
          <t>Project-specific</t>
        </is>
      </c>
      <c r="F37" s="8" t="inlineStr">
        <is>
          <t>Not started</t>
        </is>
      </c>
      <c r="G37" s="9" t="inlineStr"/>
      <c r="H37" s="10" t="inlineStr"/>
      <c r="I37" s="9" t="inlineStr"/>
    </row>
    <row r="38">
      <c r="A38" s="4" t="n">
        <v>34</v>
      </c>
      <c r="B38" s="13" t="inlineStr">
        <is>
          <t>D. Access verification (per role)</t>
        </is>
      </c>
      <c r="C38" s="6" t="inlineStr">
        <is>
          <t>Acaroid fields readable (about 100 on accounts, 7 on affiliations)</t>
        </is>
      </c>
      <c r="D38" s="6" t="inlineStr">
        <is>
          <t>Granted by Sciagen_Acaroid_Admin; confirm it is assigned to every Manager and KAM.</t>
        </is>
      </c>
      <c r="E38" s="7" t="inlineStr">
        <is>
          <t>Project-specific</t>
        </is>
      </c>
      <c r="F38" s="8" t="inlineStr">
        <is>
          <t>Not started</t>
        </is>
      </c>
      <c r="G38" s="9" t="inlineStr"/>
      <c r="H38" s="10" t="inlineStr"/>
      <c r="I38" s="9" t="inlineStr"/>
    </row>
    <row r="39">
      <c r="A39" s="4" t="n">
        <v>35</v>
      </c>
      <c r="B39" s="13" t="inlineStr">
        <is>
          <t>D. Access verification (per role)</t>
        </is>
      </c>
      <c r="C39" s="6" t="inlineStr">
        <is>
          <t>Close the OTP exposure</t>
        </is>
      </c>
      <c r="D39" s="6" t="inlineStr">
        <is>
          <t>Device_Reset_Request__c.OTP__c is readable (and editable) by KAM / Manager / Business Admin / Standard Platform User profiles. After the iPad uses the verify endpoint, remove read/edit for reps; keep Admin and approvers.</t>
        </is>
      </c>
      <c r="E39" s="7" t="inlineStr">
        <is>
          <t>Project-specific</t>
        </is>
      </c>
      <c r="F39" s="8" t="inlineStr">
        <is>
          <t>Not started</t>
        </is>
      </c>
      <c r="G39" s="9" t="inlineStr"/>
      <c r="H39" s="10" t="inlineStr"/>
      <c r="I39" s="9" t="inlineStr"/>
    </row>
    <row r="40">
      <c r="A40" s="4" t="n">
        <v>36</v>
      </c>
      <c r="B40" s="13" t="inlineStr">
        <is>
          <t>D. Access verification (per role)</t>
        </is>
      </c>
      <c r="C40" s="6" t="inlineStr">
        <is>
          <t>Review Business_Admin_Full_Access</t>
        </is>
      </c>
      <c r="D40" s="6" t="inlineStr">
        <is>
          <t>In devorg1 and Int it has no object permissions, so Business Admins see data only through the role hierarchy. Decide the intended access and deploy it deliberately.</t>
        </is>
      </c>
      <c r="E40" s="7" t="inlineStr">
        <is>
          <t>Project-specific</t>
        </is>
      </c>
      <c r="F40" s="8" t="inlineStr">
        <is>
          <t>Not started</t>
        </is>
      </c>
      <c r="G40" s="9" t="inlineStr"/>
      <c r="H40" s="10" t="inlineStr"/>
      <c r="I40" s="9" t="inlineStr"/>
    </row>
    <row r="41">
      <c r="A41" s="4" t="n">
        <v>37</v>
      </c>
      <c r="B41" s="13" t="inlineStr">
        <is>
          <t>D. Access verification (per role)</t>
        </is>
      </c>
      <c r="C41" s="6" t="inlineStr">
        <is>
          <t>Review anything granting View All / Modify All</t>
        </is>
      </c>
      <c r="D41" s="6" t="inlineStr">
        <is>
          <t>Mobile App permission set in the repo would add View All on 31 objects - do not deploy it without a security decision.</t>
        </is>
      </c>
      <c r="E41" s="7" t="inlineStr">
        <is>
          <t>Project-specific</t>
        </is>
      </c>
      <c r="F41" s="8" t="inlineStr">
        <is>
          <t>Not started</t>
        </is>
      </c>
      <c r="G41" s="9" t="inlineStr"/>
      <c r="H41" s="10" t="inlineStr"/>
      <c r="I41" s="9" t="inlineStr"/>
    </row>
    <row r="42">
      <c r="A42" s="4" t="n">
        <v>38</v>
      </c>
      <c r="B42" s="14" t="inlineStr">
        <is>
          <t>E. Functional smoke tests</t>
        </is>
      </c>
      <c r="C42" s="6" t="inlineStr">
        <is>
          <t>iPad: login, accounts list, account profile, tabs (Timeline, Segmentation, DCR)</t>
        </is>
      </c>
      <c r="D42" s="6" t="inlineStr">
        <is>
          <t>As KAM and as Manager (including the KAM picker on Accounts and My Schedule).</t>
        </is>
      </c>
      <c r="E42" s="4" t="inlineStr">
        <is>
          <t>General</t>
        </is>
      </c>
      <c r="F42" s="8" t="inlineStr">
        <is>
          <t>Not started</t>
        </is>
      </c>
      <c r="G42" s="9" t="inlineStr"/>
      <c r="H42" s="10" t="inlineStr"/>
      <c r="I42" s="9" t="inlineStr"/>
    </row>
    <row r="43">
      <c r="A43" s="4" t="n">
        <v>39</v>
      </c>
      <c r="B43" s="14" t="inlineStr">
        <is>
          <t>E. Functional smoke tests</t>
        </is>
      </c>
      <c r="C43" s="6" t="inlineStr">
        <is>
          <t>iPad: schedule a call, open it, log and submit a call report</t>
        </is>
      </c>
      <c r="D43" s="6" t="inlineStr">
        <is>
          <t>Check the follow-up call, check-in, signature, samples and key messages.</t>
        </is>
      </c>
      <c r="E43" s="4" t="inlineStr">
        <is>
          <t>General</t>
        </is>
      </c>
      <c r="F43" s="8" t="inlineStr">
        <is>
          <t>Not started</t>
        </is>
      </c>
      <c r="G43" s="9" t="inlineStr"/>
      <c r="H43" s="10" t="inlineStr"/>
      <c r="I43" s="9" t="inlineStr"/>
    </row>
    <row r="44">
      <c r="A44" s="4" t="n">
        <v>40</v>
      </c>
      <c r="B44" s="14" t="inlineStr">
        <is>
          <t>E. Functional smoke tests</t>
        </is>
      </c>
      <c r="C44" s="6" t="inlineStr">
        <is>
          <t>iPad: device reset flow (Reset Local Data)</t>
        </is>
      </c>
      <c r="D44" s="6" t="inlineStr">
        <is>
          <t>Request &gt; approve &gt; code entry. Re-test after the OTP change.</t>
        </is>
      </c>
      <c r="E44" s="7" t="inlineStr">
        <is>
          <t>Project-specific</t>
        </is>
      </c>
      <c r="F44" s="8" t="inlineStr">
        <is>
          <t>Not started</t>
        </is>
      </c>
      <c r="G44" s="9" t="inlineStr"/>
      <c r="H44" s="10" t="inlineStr"/>
      <c r="I44" s="9" t="inlineStr"/>
    </row>
    <row r="45">
      <c r="A45" s="4" t="n">
        <v>41</v>
      </c>
      <c r="B45" s="14" t="inlineStr">
        <is>
          <t>E. Functional smoke tests</t>
        </is>
      </c>
      <c r="C45" s="6" t="inlineStr">
        <is>
          <t>Web My Schedule: Agenda, Week, Month, Map</t>
        </is>
      </c>
      <c r="D45" s="6" t="inlineStr">
        <is>
          <t>Click a call: report opens; Week grid drag-and-drop, slot click, right-click menu, Time Off and holiday flags; Manager/Admin Region &gt; Territory &gt; KAM picker.</t>
        </is>
      </c>
      <c r="E45" s="7" t="inlineStr">
        <is>
          <t>Project-specific</t>
        </is>
      </c>
      <c r="F45" s="8" t="inlineStr">
        <is>
          <t>Not started</t>
        </is>
      </c>
      <c r="G45" s="9" t="inlineStr"/>
      <c r="H45" s="10" t="inlineStr"/>
      <c r="I45" s="9" t="inlineStr"/>
    </row>
    <row r="46">
      <c r="A46" s="4" t="n">
        <v>42</v>
      </c>
      <c r="B46" s="14" t="inlineStr">
        <is>
          <t>E. Functional smoke tests</t>
        </is>
      </c>
      <c r="C46" s="6" t="inlineStr">
        <is>
          <t>Account Plans: open a plan and add goal, stakeholder, strategy, team member, action item</t>
        </is>
      </c>
      <c r="D46" s="6" t="inlineStr">
        <is>
          <t>These four create methods were missing in devorg1 once; confirm they exist in production.</t>
        </is>
      </c>
      <c r="E46" s="7" t="inlineStr">
        <is>
          <t>Project-specific</t>
        </is>
      </c>
      <c r="F46" s="8" t="inlineStr">
        <is>
          <t>Not started</t>
        </is>
      </c>
      <c r="G46" s="9" t="inlineStr"/>
      <c r="H46" s="10" t="inlineStr"/>
      <c r="I46" s="9" t="inlineStr"/>
    </row>
    <row r="47">
      <c r="A47" s="4" t="n">
        <v>43</v>
      </c>
      <c r="B47" s="14" t="inlineStr">
        <is>
          <t>E. Functional smoke tests</t>
        </is>
      </c>
      <c r="C47" s="6" t="inlineStr">
        <is>
          <t>Support: raise an unlock request and unlock a submitted call; unlock a monthly plan</t>
        </is>
      </c>
      <c r="D47" s="6" t="inlineStr">
        <is>
          <t>The unlock flag in SupportUnlockService must be present (CallReportLockService blocks the update otherwise).</t>
        </is>
      </c>
      <c r="E47" s="7" t="inlineStr">
        <is>
          <t>Project-specific</t>
        </is>
      </c>
      <c r="F47" s="8" t="inlineStr">
        <is>
          <t>Not started</t>
        </is>
      </c>
      <c r="G47" s="9" t="inlineStr"/>
      <c r="H47" s="10" t="inlineStr"/>
      <c r="I47" s="9" t="inlineStr"/>
    </row>
    <row r="48">
      <c r="A48" s="4" t="n">
        <v>44</v>
      </c>
      <c r="B48" s="14" t="inlineStr">
        <is>
          <t>E. Functional smoke tests</t>
        </is>
      </c>
      <c r="C48" s="6" t="inlineStr">
        <is>
          <t>Territory: add an HCP to a territory, DCR approval, unassign</t>
        </is>
      </c>
      <c r="D48" s="6" t="inlineStr">
        <is>
          <t>Inactive users are skipped by the sharing services; INSUFFICIENT_ACCESS deferral works.</t>
        </is>
      </c>
      <c r="E48" s="7" t="inlineStr">
        <is>
          <t>Project-specific</t>
        </is>
      </c>
      <c r="F48" s="8" t="inlineStr">
        <is>
          <t>Not started</t>
        </is>
      </c>
      <c r="G48" s="9" t="inlineStr"/>
      <c r="H48" s="10" t="inlineStr"/>
      <c r="I48" s="9" t="inlineStr"/>
    </row>
    <row r="49">
      <c r="A49" s="4" t="n">
        <v>45</v>
      </c>
      <c r="B49" s="14" t="inlineStr">
        <is>
          <t>E. Functional smoke tests</t>
        </is>
      </c>
      <c r="C49" s="6" t="inlineStr">
        <is>
          <t>CMS / CLM: push a test document and remove it</t>
        </is>
      </c>
      <c r="D49" s="6" t="inlineStr">
        <is>
          <t>Presentation, Slide and Approved_Content created; files removed cleanly. The CMS can re-push removed files - remove at source too.</t>
        </is>
      </c>
      <c r="E49" s="7" t="inlineStr">
        <is>
          <t>Project-specific</t>
        </is>
      </c>
      <c r="F49" s="8" t="inlineStr">
        <is>
          <t>Not started</t>
        </is>
      </c>
      <c r="G49" s="9" t="inlineStr"/>
      <c r="H49" s="10" t="inlineStr"/>
      <c r="I49" s="9" t="inlineStr"/>
    </row>
    <row r="50">
      <c r="A50" s="4" t="n">
        <v>46</v>
      </c>
      <c r="B50" s="14" t="inlineStr">
        <is>
          <t>E. Functional smoke tests</t>
        </is>
      </c>
      <c r="C50" s="6" t="inlineStr">
        <is>
          <t>Reports module (Sciagen Reports): each report per role</t>
        </is>
      </c>
      <c r="D50" s="6" t="inlineStr">
        <is>
          <t>KAM own, Manager team, Business Admin all; segment (V1/V2/V3), sales and samples.</t>
        </is>
      </c>
      <c r="E50" s="7" t="inlineStr">
        <is>
          <t>Project-specific</t>
        </is>
      </c>
      <c r="F50" s="8" t="inlineStr">
        <is>
          <t>Not started</t>
        </is>
      </c>
      <c r="G50" s="9" t="inlineStr"/>
      <c r="H50" s="10" t="inlineStr"/>
      <c r="I50" s="9" t="inlineStr"/>
    </row>
    <row r="51">
      <c r="A51" s="4" t="n">
        <v>47</v>
      </c>
      <c r="B51" s="14" t="inlineStr">
        <is>
          <t>E. Functional smoke tests</t>
        </is>
      </c>
      <c r="C51" s="6" t="inlineStr">
        <is>
          <t>Sent email: send one test email from a rep</t>
        </is>
      </c>
      <c r="D51" s="6" t="inlineStr">
        <is>
          <t>Needs Email Deliverability set correctly.</t>
        </is>
      </c>
      <c r="E51" s="7" t="inlineStr">
        <is>
          <t>Project-specific</t>
        </is>
      </c>
      <c r="F51" s="8" t="inlineStr">
        <is>
          <t>Not started</t>
        </is>
      </c>
      <c r="G51" s="9" t="inlineStr"/>
      <c r="H51" s="10" t="inlineStr"/>
      <c r="I51" s="9" t="inlineStr"/>
    </row>
    <row r="52">
      <c r="A52" s="4" t="n">
        <v>48</v>
      </c>
      <c r="B52" s="14" t="inlineStr">
        <is>
          <t>E. Functional smoke tests</t>
        </is>
      </c>
      <c r="C52" s="6" t="inlineStr">
        <is>
          <t>Team-schedule API: me, kams, calls, accounts, account-activity</t>
        </is>
      </c>
      <c r="D52" s="6" t="inlineStr">
        <is>
          <t>As a Manager and as a KAM (KAM must get 403 on team data). Check paging with limit/offset/afterId.</t>
        </is>
      </c>
      <c r="E52" s="7" t="inlineStr">
        <is>
          <t>Project-specific</t>
        </is>
      </c>
      <c r="F52" s="8" t="inlineStr">
        <is>
          <t>Not started</t>
        </is>
      </c>
      <c r="G52" s="9" t="inlineStr"/>
      <c r="H52" s="10" t="inlineStr"/>
      <c r="I52" s="9" t="inlineStr"/>
    </row>
    <row r="53">
      <c r="A53" s="4" t="n">
        <v>49</v>
      </c>
      <c r="B53" s="14" t="inlineStr">
        <is>
          <t>E. Functional smoke tests</t>
        </is>
      </c>
      <c r="C53" s="6" t="inlineStr">
        <is>
          <t>Update training document and README for what is live</t>
        </is>
      </c>
      <c r="D53" s="6" t="inlineStr">
        <is>
          <t>Sales Rep Training Scenarios PDF, Sciagen_Reports_README.</t>
        </is>
      </c>
      <c r="E53" s="4" t="inlineStr">
        <is>
          <t>General</t>
        </is>
      </c>
      <c r="F53" s="8" t="inlineStr">
        <is>
          <t>Not started</t>
        </is>
      </c>
      <c r="G53" s="9" t="inlineStr"/>
      <c r="H53" s="10" t="inlineStr"/>
      <c r="I53" s="9" t="inlineStr"/>
    </row>
    <row r="54">
      <c r="A54" s="4" t="n">
        <v>50</v>
      </c>
      <c r="B54" s="15" t="inlineStr">
        <is>
          <t>F. Monitoring (first 24-72 hours)</t>
        </is>
      </c>
      <c r="C54" s="6" t="inlineStr">
        <is>
          <t>Watch Sync_Tracking__c where Status = Failed, per user</t>
        </is>
      </c>
      <c r="D54" s="6" t="inlineStr">
        <is>
          <t>Known past causes: required Member_Name__c missing, Rep__c longer than 18 characters, missing FLS.</t>
        </is>
      </c>
      <c r="E54" s="7" t="inlineStr">
        <is>
          <t>Project-specific</t>
        </is>
      </c>
      <c r="F54" s="8" t="inlineStr">
        <is>
          <t>Not started</t>
        </is>
      </c>
      <c r="G54" s="9" t="inlineStr"/>
      <c r="H54" s="10" t="inlineStr"/>
      <c r="I54" s="9" t="inlineStr"/>
    </row>
    <row r="55">
      <c r="A55" s="4" t="n">
        <v>51</v>
      </c>
      <c r="B55" s="15" t="inlineStr">
        <is>
          <t>F. Monitoring (first 24-72 hours)</t>
        </is>
      </c>
      <c r="C55" s="6" t="inlineStr">
        <is>
          <t>Review Login History for the iPad app and MFA prompts</t>
        </is>
      </c>
      <c r="D55" s="6" t="inlineStr">
        <is>
          <t>Remote Access 2.0 logins should be Success.</t>
        </is>
      </c>
      <c r="E55" s="4" t="inlineStr">
        <is>
          <t>General</t>
        </is>
      </c>
      <c r="F55" s="8" t="inlineStr">
        <is>
          <t>Not started</t>
        </is>
      </c>
      <c r="G55" s="9" t="inlineStr"/>
      <c r="H55" s="10" t="inlineStr"/>
      <c r="I55" s="9" t="inlineStr"/>
    </row>
    <row r="56">
      <c r="A56" s="4" t="n">
        <v>52</v>
      </c>
      <c r="B56" s="15" t="inlineStr">
        <is>
          <t>F. Monitoring (first 24-72 hours)</t>
        </is>
      </c>
      <c r="C56" s="6" t="inlineStr">
        <is>
          <t>Review Apex exception emails and debug logs</t>
        </is>
      </c>
      <c r="D56" s="6" t="inlineStr">
        <is>
          <t>UNABLE_TO_LOCK_ROW, INSUFFICIENT_ACCESS, sharing and callout errors.</t>
        </is>
      </c>
      <c r="E56" s="4" t="inlineStr">
        <is>
          <t>General</t>
        </is>
      </c>
      <c r="F56" s="8" t="inlineStr">
        <is>
          <t>Not started</t>
        </is>
      </c>
      <c r="G56" s="9" t="inlineStr"/>
      <c r="H56" s="10" t="inlineStr"/>
      <c r="I56" s="9" t="inlineStr"/>
    </row>
    <row r="57">
      <c r="A57" s="4" t="n">
        <v>53</v>
      </c>
      <c r="B57" s="15" t="inlineStr">
        <is>
          <t>F. Monitoring (first 24-72 hours)</t>
        </is>
      </c>
      <c r="C57" s="6" t="inlineStr">
        <is>
          <t>Check scheduled and batch job status</t>
        </is>
      </c>
      <c r="D57" s="6" t="inlineStr">
        <is>
          <t>Setup &gt; Apex Jobs, Scheduled Jobs.</t>
        </is>
      </c>
      <c r="E57" s="4" t="inlineStr">
        <is>
          <t>General</t>
        </is>
      </c>
      <c r="F57" s="8" t="inlineStr">
        <is>
          <t>Not started</t>
        </is>
      </c>
      <c r="G57" s="9" t="inlineStr"/>
      <c r="H57" s="10" t="inlineStr"/>
      <c r="I57" s="9" t="inlineStr"/>
    </row>
    <row r="58">
      <c r="A58" s="4" t="n">
        <v>54</v>
      </c>
      <c r="B58" s="15" t="inlineStr">
        <is>
          <t>F. Monitoring (first 24-72 hours)</t>
        </is>
      </c>
      <c r="C58" s="6" t="inlineStr">
        <is>
          <t>Watch API request and storage limits</t>
        </is>
      </c>
      <c r="D58" s="6" t="inlineStr">
        <is>
          <t>Sync is chatty; check daily API usage and data/file storage.</t>
        </is>
      </c>
      <c r="E58" s="4" t="inlineStr">
        <is>
          <t>General</t>
        </is>
      </c>
      <c r="F58" s="8" t="inlineStr">
        <is>
          <t>Not started</t>
        </is>
      </c>
      <c r="G58" s="9" t="inlineStr"/>
      <c r="H58" s="10" t="inlineStr"/>
      <c r="I58" s="9" t="inlineStr"/>
    </row>
    <row r="59">
      <c r="A59" s="4" t="n">
        <v>55</v>
      </c>
      <c r="B59" s="15" t="inlineStr">
        <is>
          <t>F. Monitoring (first 24-72 hours)</t>
        </is>
      </c>
      <c r="C59" s="6" t="inlineStr">
        <is>
          <t>Triage the Help &amp; Support inbox</t>
        </is>
      </c>
      <c r="D59" s="6" t="inlineStr">
        <is>
          <t>Answer unlock and sync requests promptly in the first days.</t>
        </is>
      </c>
      <c r="E59" s="4" t="inlineStr">
        <is>
          <t>General</t>
        </is>
      </c>
      <c r="F59" s="8" t="inlineStr">
        <is>
          <t>Not started</t>
        </is>
      </c>
      <c r="G59" s="9" t="inlineStr"/>
      <c r="H59" s="10" t="inlineStr"/>
      <c r="I59" s="9" t="inlineStr"/>
    </row>
    <row r="60">
      <c r="A60" s="4" t="n">
        <v>56</v>
      </c>
      <c r="B60" s="16" t="inlineStr">
        <is>
          <t>G. Rollback and handover</t>
        </is>
      </c>
      <c r="C60" s="6" t="inlineStr">
        <is>
          <t>Rollback plan agreed</t>
        </is>
      </c>
      <c r="D60" s="6" t="inlineStr">
        <is>
          <t>Redeploy the pre-deployment backup + destructive changes. List data changes that cannot be rolled back.</t>
        </is>
      </c>
      <c r="E60" s="4" t="inlineStr">
        <is>
          <t>General</t>
        </is>
      </c>
      <c r="F60" s="8" t="inlineStr">
        <is>
          <t>Not started</t>
        </is>
      </c>
      <c r="G60" s="9" t="inlineStr"/>
      <c r="H60" s="10" t="inlineStr"/>
      <c r="I60" s="9" t="inlineStr"/>
    </row>
    <row r="61">
      <c r="A61" s="4" t="n">
        <v>57</v>
      </c>
      <c r="B61" s="16" t="inlineStr">
        <is>
          <t>G. Rollback and handover</t>
        </is>
      </c>
      <c r="C61" s="6" t="inlineStr">
        <is>
          <t>Release notes sent to users and the iPad team</t>
        </is>
      </c>
      <c r="D61" s="6" t="inlineStr">
        <is>
          <t>What changed, who is affected, known limitations.</t>
        </is>
      </c>
      <c r="E61" s="4" t="inlineStr">
        <is>
          <t>General</t>
        </is>
      </c>
      <c r="F61" s="8" t="inlineStr">
        <is>
          <t>Not started</t>
        </is>
      </c>
      <c r="G61" s="9" t="inlineStr"/>
      <c r="H61" s="10" t="inlineStr"/>
      <c r="I61" s="9" t="inlineStr"/>
    </row>
    <row r="62">
      <c r="A62" s="4" t="n">
        <v>58</v>
      </c>
      <c r="B62" s="16" t="inlineStr">
        <is>
          <t>G. Rollback and handover</t>
        </is>
      </c>
      <c r="C62" s="6" t="inlineStr">
        <is>
          <t>Commit the final state to git and tag the release</t>
        </is>
      </c>
      <c r="D62" s="6" t="inlineStr">
        <is>
          <t>The repo must match production after release.</t>
        </is>
      </c>
      <c r="E62" s="4" t="inlineStr">
        <is>
          <t>General</t>
        </is>
      </c>
      <c r="F62" s="8" t="inlineStr">
        <is>
          <t>Not started</t>
        </is>
      </c>
      <c r="G62" s="9" t="inlineStr"/>
      <c r="H62" s="10" t="inlineStr"/>
      <c r="I62" s="9" t="inlineStr"/>
    </row>
    <row r="63">
      <c r="A63" s="4" t="n">
        <v>59</v>
      </c>
      <c r="B63" s="16" t="inlineStr">
        <is>
          <t>G. Rollback and handover</t>
        </is>
      </c>
      <c r="C63" s="6" t="inlineStr">
        <is>
          <t>Sign-off record</t>
        </is>
      </c>
      <c r="D63" s="6" t="inlineStr">
        <is>
          <t>Who tested which role, with date; link to deployment ID.</t>
        </is>
      </c>
      <c r="E63" s="4" t="inlineStr">
        <is>
          <t>General</t>
        </is>
      </c>
      <c r="F63" s="8" t="inlineStr">
        <is>
          <t>Not started</t>
        </is>
      </c>
      <c r="G63" s="9" t="inlineStr"/>
      <c r="H63" s="10" t="inlineStr"/>
      <c r="I63" s="9" t="inlineStr"/>
    </row>
  </sheetData>
  <autoFilter ref="A4:I63"/>
  <conditionalFormatting sqref="F5:F63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2">
    <dataValidation sqref="F5:F63" showDropDown="0" showInputMessage="0" showErrorMessage="0" allowBlank="0" type="list">
      <formula1>"Not started,In progress,Done,Blocked,N/A"</formula1>
    </dataValidation>
    <dataValidation sqref="H5:H63" showDropDown="0" showInputMessage="0" showErrorMessage="0" allowBlank="1" errorTitle="Date" error="Enter a valid date." type="date" operator="greaterThan">
      <formula1>36526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Progress summary</t>
        </is>
      </c>
    </row>
    <row r="2">
      <c r="A2" s="2" t="inlineStr">
        <is>
          <t>All figures are formulas over the Checklist sheet - they update as you change Status.</t>
        </is>
      </c>
    </row>
    <row r="4">
      <c r="A4" s="17" t="inlineStr">
        <is>
          <t>Phase</t>
        </is>
      </c>
      <c r="B4" s="17" t="inlineStr">
        <is>
          <t>Total</t>
        </is>
      </c>
      <c r="C4" s="17" t="inlineStr">
        <is>
          <t>Done</t>
        </is>
      </c>
      <c r="D4" s="17" t="inlineStr">
        <is>
          <t>In progress</t>
        </is>
      </c>
      <c r="E4" s="17" t="inlineStr">
        <is>
          <t>Blocked</t>
        </is>
      </c>
      <c r="F4" s="17" t="inlineStr">
        <is>
          <t>Not started</t>
        </is>
      </c>
      <c r="G4" s="17" t="inlineStr">
        <is>
          <t>N/A</t>
        </is>
      </c>
      <c r="H4" s="17" t="inlineStr">
        <is>
          <t>% complete</t>
        </is>
      </c>
    </row>
    <row r="5">
      <c r="A5" s="18" t="inlineStr">
        <is>
          <t>A. Pre-deployment gate</t>
        </is>
      </c>
      <c r="B5" s="19">
        <f>COUNTIF(Checklist!$B$5:$B$63,$A5)</f>
        <v/>
      </c>
      <c r="C5" s="19">
        <f>COUNTIFS(Checklist!$B$5:$B$63,$A5,Checklist!$F$5:$F$63,"Done")</f>
        <v/>
      </c>
      <c r="D5" s="19">
        <f>COUNTIFS(Checklist!$B$5:$B$63,$A5,Checklist!$F$5:$F$63,"In progress")</f>
        <v/>
      </c>
      <c r="E5" s="19">
        <f>COUNTIFS(Checklist!$B$5:$B$63,$A5,Checklist!$F$5:$F$63,"Blocked")</f>
        <v/>
      </c>
      <c r="F5" s="19">
        <f>COUNTIFS(Checklist!$B$5:$B$63,$A5,Checklist!$F$5:$F$63,"Not started")</f>
        <v/>
      </c>
      <c r="G5" s="19">
        <f>COUNTIFS(Checklist!$B$5:$B$63,$A5,Checklist!$F$5:$F$63,"N/A")</f>
        <v/>
      </c>
      <c r="H5" s="20">
        <f>IFERROR(C5/(B5-G5),0)</f>
        <v/>
      </c>
    </row>
    <row r="6">
      <c r="A6" s="18" t="inlineStr">
        <is>
          <t>B. Immediately after deploy</t>
        </is>
      </c>
      <c r="B6" s="19">
        <f>COUNTIF(Checklist!$B$5:$B$63,$A6)</f>
        <v/>
      </c>
      <c r="C6" s="19">
        <f>COUNTIFS(Checklist!$B$5:$B$63,$A6,Checklist!$F$5:$F$63,"Done")</f>
        <v/>
      </c>
      <c r="D6" s="19">
        <f>COUNTIFS(Checklist!$B$5:$B$63,$A6,Checklist!$F$5:$F$63,"In progress")</f>
        <v/>
      </c>
      <c r="E6" s="19">
        <f>COUNTIFS(Checklist!$B$5:$B$63,$A6,Checklist!$F$5:$F$63,"Blocked")</f>
        <v/>
      </c>
      <c r="F6" s="19">
        <f>COUNTIFS(Checklist!$B$5:$B$63,$A6,Checklist!$F$5:$F$63,"Not started")</f>
        <v/>
      </c>
      <c r="G6" s="19">
        <f>COUNTIFS(Checklist!$B$5:$B$63,$A6,Checklist!$F$5:$F$63,"N/A")</f>
        <v/>
      </c>
      <c r="H6" s="20">
        <f>IFERROR(C6/(B6-G6),0)</f>
        <v/>
      </c>
    </row>
    <row r="7">
      <c r="A7" s="18" t="inlineStr">
        <is>
          <t>C. Org settings (not in deployment)</t>
        </is>
      </c>
      <c r="B7" s="19">
        <f>COUNTIF(Checklist!$B$5:$B$63,$A7)</f>
        <v/>
      </c>
      <c r="C7" s="19">
        <f>COUNTIFS(Checklist!$B$5:$B$63,$A7,Checklist!$F$5:$F$63,"Done")</f>
        <v/>
      </c>
      <c r="D7" s="19">
        <f>COUNTIFS(Checklist!$B$5:$B$63,$A7,Checklist!$F$5:$F$63,"In progress")</f>
        <v/>
      </c>
      <c r="E7" s="19">
        <f>COUNTIFS(Checklist!$B$5:$B$63,$A7,Checklist!$F$5:$F$63,"Blocked")</f>
        <v/>
      </c>
      <c r="F7" s="19">
        <f>COUNTIFS(Checklist!$B$5:$B$63,$A7,Checklist!$F$5:$F$63,"Not started")</f>
        <v/>
      </c>
      <c r="G7" s="19">
        <f>COUNTIFS(Checklist!$B$5:$B$63,$A7,Checklist!$F$5:$F$63,"N/A")</f>
        <v/>
      </c>
      <c r="H7" s="20">
        <f>IFERROR(C7/(B7-G7),0)</f>
        <v/>
      </c>
    </row>
    <row r="8">
      <c r="A8" s="18" t="inlineStr">
        <is>
          <t>D. Access verification (per role)</t>
        </is>
      </c>
      <c r="B8" s="19">
        <f>COUNTIF(Checklist!$B$5:$B$63,$A8)</f>
        <v/>
      </c>
      <c r="C8" s="19">
        <f>COUNTIFS(Checklist!$B$5:$B$63,$A8,Checklist!$F$5:$F$63,"Done")</f>
        <v/>
      </c>
      <c r="D8" s="19">
        <f>COUNTIFS(Checklist!$B$5:$B$63,$A8,Checklist!$F$5:$F$63,"In progress")</f>
        <v/>
      </c>
      <c r="E8" s="19">
        <f>COUNTIFS(Checklist!$B$5:$B$63,$A8,Checklist!$F$5:$F$63,"Blocked")</f>
        <v/>
      </c>
      <c r="F8" s="19">
        <f>COUNTIFS(Checklist!$B$5:$B$63,$A8,Checklist!$F$5:$F$63,"Not started")</f>
        <v/>
      </c>
      <c r="G8" s="19">
        <f>COUNTIFS(Checklist!$B$5:$B$63,$A8,Checklist!$F$5:$F$63,"N/A")</f>
        <v/>
      </c>
      <c r="H8" s="20">
        <f>IFERROR(C8/(B8-G8),0)</f>
        <v/>
      </c>
    </row>
    <row r="9">
      <c r="A9" s="18" t="inlineStr">
        <is>
          <t>E. Functional smoke tests</t>
        </is>
      </c>
      <c r="B9" s="19">
        <f>COUNTIF(Checklist!$B$5:$B$63,$A9)</f>
        <v/>
      </c>
      <c r="C9" s="19">
        <f>COUNTIFS(Checklist!$B$5:$B$63,$A9,Checklist!$F$5:$F$63,"Done")</f>
        <v/>
      </c>
      <c r="D9" s="19">
        <f>COUNTIFS(Checklist!$B$5:$B$63,$A9,Checklist!$F$5:$F$63,"In progress")</f>
        <v/>
      </c>
      <c r="E9" s="19">
        <f>COUNTIFS(Checklist!$B$5:$B$63,$A9,Checklist!$F$5:$F$63,"Blocked")</f>
        <v/>
      </c>
      <c r="F9" s="19">
        <f>COUNTIFS(Checklist!$B$5:$B$63,$A9,Checklist!$F$5:$F$63,"Not started")</f>
        <v/>
      </c>
      <c r="G9" s="19">
        <f>COUNTIFS(Checklist!$B$5:$B$63,$A9,Checklist!$F$5:$F$63,"N/A")</f>
        <v/>
      </c>
      <c r="H9" s="20">
        <f>IFERROR(C9/(B9-G9),0)</f>
        <v/>
      </c>
    </row>
    <row r="10">
      <c r="A10" s="18" t="inlineStr">
        <is>
          <t>F. Monitoring (first 24-72 hours)</t>
        </is>
      </c>
      <c r="B10" s="19">
        <f>COUNTIF(Checklist!$B$5:$B$63,$A10)</f>
        <v/>
      </c>
      <c r="C10" s="19">
        <f>COUNTIFS(Checklist!$B$5:$B$63,$A10,Checklist!$F$5:$F$63,"Done")</f>
        <v/>
      </c>
      <c r="D10" s="19">
        <f>COUNTIFS(Checklist!$B$5:$B$63,$A10,Checklist!$F$5:$F$63,"In progress")</f>
        <v/>
      </c>
      <c r="E10" s="19">
        <f>COUNTIFS(Checklist!$B$5:$B$63,$A10,Checklist!$F$5:$F$63,"Blocked")</f>
        <v/>
      </c>
      <c r="F10" s="19">
        <f>COUNTIFS(Checklist!$B$5:$B$63,$A10,Checklist!$F$5:$F$63,"Not started")</f>
        <v/>
      </c>
      <c r="G10" s="19">
        <f>COUNTIFS(Checklist!$B$5:$B$63,$A10,Checklist!$F$5:$F$63,"N/A")</f>
        <v/>
      </c>
      <c r="H10" s="20">
        <f>IFERROR(C10/(B10-G10),0)</f>
        <v/>
      </c>
    </row>
    <row r="11">
      <c r="A11" s="18" t="inlineStr">
        <is>
          <t>G. Rollback and handover</t>
        </is>
      </c>
      <c r="B11" s="19">
        <f>COUNTIF(Checklist!$B$5:$B$63,$A11)</f>
        <v/>
      </c>
      <c r="C11" s="19">
        <f>COUNTIFS(Checklist!$B$5:$B$63,$A11,Checklist!$F$5:$F$63,"Done")</f>
        <v/>
      </c>
      <c r="D11" s="19">
        <f>COUNTIFS(Checklist!$B$5:$B$63,$A11,Checklist!$F$5:$F$63,"In progress")</f>
        <v/>
      </c>
      <c r="E11" s="19">
        <f>COUNTIFS(Checklist!$B$5:$B$63,$A11,Checklist!$F$5:$F$63,"Blocked")</f>
        <v/>
      </c>
      <c r="F11" s="19">
        <f>COUNTIFS(Checklist!$B$5:$B$63,$A11,Checklist!$F$5:$F$63,"Not started")</f>
        <v/>
      </c>
      <c r="G11" s="19">
        <f>COUNTIFS(Checklist!$B$5:$B$63,$A11,Checklist!$F$5:$F$63,"N/A")</f>
        <v/>
      </c>
      <c r="H11" s="20">
        <f>IFERROR(C11/(B11-G11),0)</f>
        <v/>
      </c>
    </row>
    <row r="12">
      <c r="A12" s="21" t="inlineStr">
        <is>
          <t>Total</t>
        </is>
      </c>
      <c r="B12" s="22">
        <f>SUM(B5:B11)</f>
        <v/>
      </c>
      <c r="C12" s="22">
        <f>SUM(C5:C11)</f>
        <v/>
      </c>
      <c r="D12" s="22">
        <f>SUM(D5:D11)</f>
        <v/>
      </c>
      <c r="E12" s="22">
        <f>SUM(E5:E11)</f>
        <v/>
      </c>
      <c r="F12" s="22">
        <f>SUM(F5:F11)</f>
        <v/>
      </c>
      <c r="G12" s="22">
        <f>SUM(G5:G11)</f>
        <v/>
      </c>
      <c r="H12" s="23">
        <f>IFERROR(C12/(B12-G12),0)</f>
        <v/>
      </c>
    </row>
    <row r="14">
      <c r="A14" s="24" t="inlineStr">
        <is>
          <t>Project-specific items still open</t>
        </is>
      </c>
      <c r="B14" s="25">
        <f>COUNTIFS(Checklist!$E$5:$E$63,"Project-specific",Checklist!$F$5:$F$63,"&lt;&gt;Done",Checklist!$F$5:$F$63,"&lt;&gt;N/A")</f>
        <v/>
      </c>
    </row>
    <row r="15">
      <c r="A15" s="24" t="inlineStr">
        <is>
          <t>Blocked items</t>
        </is>
      </c>
      <c r="B15" s="25">
        <f>COUNTIF(Checklist!$F$5:$F$63,"Blocked")</f>
        <v/>
      </c>
    </row>
    <row r="16">
      <c r="A16" s="24" t="inlineStr">
        <is>
          <t>Ready to deploy?</t>
        </is>
      </c>
      <c r="B16" s="24">
        <f>IF(AND(COUNTIFS(Checklist!$B$5:$B$63,"A. Pre-deployment gate",Checklist!$F$5:$F$63,"&lt;&gt;Done",Checklist!$F$5:$F$63,"&lt;&gt;N/A")=0,B15=0),"Gate A complete","Gate A open")</f>
        <v/>
      </c>
    </row>
  </sheetData>
  <conditionalFormatting sqref="B16">
    <cfRule type="expression" priority="1" dxfId="3">
      <formula>B16="Gate A complete"</formula>
    </cfRule>
    <cfRule type="expression" priority="2" dxfId="4">
      <formula>B16="Gate A open"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How to use this workbook</t>
        </is>
      </c>
    </row>
    <row r="3" ht="44" customHeight="1">
      <c r="A3" s="26" t="inlineStr">
        <is>
          <t>Where to type</t>
        </is>
      </c>
      <c r="B3" s="27" t="inlineStr">
        <is>
          <t>Only the yellow columns on the Checklist sheet: Status (pick from the list), Owner, Date done, Notes. Everything else is reference text.</t>
        </is>
      </c>
    </row>
    <row r="4" ht="44" customHeight="1">
      <c r="A4" s="26" t="inlineStr">
        <is>
          <t>Status values</t>
        </is>
      </c>
      <c r="B4" s="27" t="inlineStr">
        <is>
          <t>Not started, In progress, Done, Blocked, N/A. Summary counts them automatically; "N/A" items are left out of the % complete.</t>
        </is>
      </c>
    </row>
    <row r="5" ht="44" customHeight="1">
      <c r="A5" s="26" t="inlineStr">
        <is>
          <t>Type</t>
        </is>
      </c>
      <c r="B5" s="27" t="inlineStr">
        <is>
          <t>"Project-specific" (red) = an issue or decision that came from this project (devorg1 / Int / iPad sync). "General" = standard Salesforce release hygiene.</t>
        </is>
      </c>
    </row>
    <row r="6" ht="44" customHeight="1">
      <c r="A6" s="26" t="inlineStr">
        <is>
          <t>Order</t>
        </is>
      </c>
      <c r="B6" s="27" t="inlineStr">
        <is>
          <t>Work phase A before deploying, B-C immediately after, D-E to verify, F during the first 72 hours, G to close out.</t>
        </is>
      </c>
    </row>
    <row r="7" ht="44" customHeight="1">
      <c r="A7" s="26" t="inlineStr">
        <is>
          <t>Gate</t>
        </is>
      </c>
      <c r="B7" s="27" t="inlineStr">
        <is>
          <t>Summary shows "Gate A complete" only when every phase A item is Done or N/A and nothing is Blocked.</t>
        </is>
      </c>
    </row>
    <row r="8" ht="44" customHeight="1">
      <c r="A8" s="26" t="inlineStr">
        <is>
          <t>Source</t>
        </is>
      </c>
      <c r="B8" s="27" t="inlineStr">
        <is>
          <t>Compiled from the devorg1 / Int comparison, the Int deployment, the coverage and test run (665 tests, 664 passing, all 173 classes at or above 80%), and the sync and access issues fixed during this project (25 Oct 2026).</t>
        </is>
      </c>
    </row>
    <row r="9" ht="44" customHeight="1">
      <c r="A9" s="26" t="inlineStr">
        <is>
          <t>Open item you should know about</t>
        </is>
      </c>
      <c r="B9" s="27" t="inlineStr">
        <is>
          <t>DeviceResetVerifyApiTest.repPermissionSetCannotReadTheCode fails on purpose until the iPad app uses the device-reset verify endpoint and the OTP field access is removed from rep profiles.</t>
        </is>
      </c>
    </row>
    <row r="10" ht="44" customHeight="1">
      <c r="A10" s="26" t="inlineStr">
        <is>
          <t>Example of a filled row</t>
        </is>
      </c>
      <c r="B10" s="27" t="inlineStr">
        <is>
          <t>Status = Done | Owner = A. Kumar | Date done = 27-Oct-2026 | Notes = Validated deploy ID 0AfXX0000000123, 0 failures.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2026-10-25T16:20:47Z</dcterms:created>
  <dcterms:modified xmlns:dcterms="http://purl.org/dc/terms/" xmlns:xsi="http://www.w3.org/2001/XMLSchema-instance" xsi:type="dcterms:W3CDTF">2026-10-25T16:20:47Z</dcterms:modified>
</cp:coreProperties>
</file>